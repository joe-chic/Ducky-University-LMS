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  <sheet state="visible" name="Resumen" sheetId="2" r:id="rId6"/>
  </sheets>
  <definedNames/>
  <calcPr/>
</workbook>
</file>

<file path=xl/sharedStrings.xml><?xml version="1.0" encoding="utf-8"?>
<sst xmlns="http://schemas.openxmlformats.org/spreadsheetml/2006/main" count="449" uniqueCount="260">
  <si>
    <t>MATRIZ DE TRAZABILIDAD DE REQUERIMIENTOS (RTM) — Ducky: Sistema de Biblioteca</t>
  </si>
  <si>
    <t>Usuarios: Administrador · Bibliotecario · Profesor · Alumno · Colaborador  |  Plataformas: Web · App</t>
  </si>
  <si>
    <t>Conecta cada RF/RNF con su función del backlog, actividad del cronograma, módulo del sistema, responsable, caso de prueba y estado</t>
  </si>
  <si>
    <t>ID Req.</t>
  </si>
  <si>
    <t>Tipo</t>
  </si>
  <si>
    <t>Función (Backlog)</t>
  </si>
  <si>
    <t>Descripción del Requerimiento</t>
  </si>
  <si>
    <t>Sprint / Fase</t>
  </si>
  <si>
    <t>ID Actividad Cronograma</t>
  </si>
  <si>
    <t>Módulo / Componente del Sistema</t>
  </si>
  <si>
    <t>Usuarios Relacionados</t>
  </si>
  <si>
    <t>Responsable(s)</t>
  </si>
  <si>
    <t>ID Caso de Prueba</t>
  </si>
  <si>
    <t>Criterio de Aceptación</t>
  </si>
  <si>
    <t>Prioridad</t>
  </si>
  <si>
    <t>Estado</t>
  </si>
  <si>
    <t>Observaciones</t>
  </si>
  <si>
    <t>RF-01</t>
  </si>
  <si>
    <t>Funcional</t>
  </si>
  <si>
    <t>Gestión de Usuarios</t>
  </si>
  <si>
    <t>El sistema debe permitir registrar (alta) un nuevo usuario con nombre, correo, contraseña y rol</t>
  </si>
  <si>
    <t>Sprint 0</t>
  </si>
  <si>
    <t>Act. 6 – Desarrollo módulo login/logout</t>
  </si>
  <si>
    <t>Módulo Usuarios — Alta de Usuario</t>
  </si>
  <si>
    <t>Administrador, Bibliotecario</t>
  </si>
  <si>
    <t>Christopher Reeker</t>
  </si>
  <si>
    <t>TC-01</t>
  </si>
  <si>
    <t>El usuario queda registrado en la BD; se muestra en el listado de usuarios activos</t>
  </si>
  <si>
    <t>Alta</t>
  </si>
  <si>
    <t>✅ Implementado</t>
  </si>
  <si>
    <t>RF-21 del backlog (21.1, 21.2, 21.3, 21.4)</t>
  </si>
  <si>
    <t>RF-02</t>
  </si>
  <si>
    <t>El sistema debe permitir dar de baja (eliminar) a un usuario existente</t>
  </si>
  <si>
    <t>Act. 7 – Gestión de roles y permisos</t>
  </si>
  <si>
    <t>Módulo Usuarios — Baja de Usuario</t>
  </si>
  <si>
    <t>Administrador</t>
  </si>
  <si>
    <t>Jonathan Humphreys</t>
  </si>
  <si>
    <t>TC-02</t>
  </si>
  <si>
    <t>El usuario eliminado no aparece en listados ni puede iniciar sesión</t>
  </si>
  <si>
    <t>RF-21 del backlog</t>
  </si>
  <si>
    <t>RF-03</t>
  </si>
  <si>
    <t>El sistema debe permitir modificar los datos de un usuario (nombre, correo, rol)</t>
  </si>
  <si>
    <t>Módulo Usuarios — Modificación de Usuario</t>
  </si>
  <si>
    <t>TC-03</t>
  </si>
  <si>
    <t>Los cambios se reflejan inmediatamente en el perfil y en el listado</t>
  </si>
  <si>
    <t>Media</t>
  </si>
  <si>
    <t>RF-04</t>
  </si>
  <si>
    <t>El sistema debe mostrar el listado completo de usuarios registrados con filtros por rol</t>
  </si>
  <si>
    <t>Módulo Usuarios — Listado de Usuarios</t>
  </si>
  <si>
    <t>TC-04</t>
  </si>
  <si>
    <t>Listado muestra todos los usuarios; filtro por rol retorna solo los correspondientes</t>
  </si>
  <si>
    <t>RF-25 del backlog (25.1, 25.2)</t>
  </si>
  <si>
    <t>RF-05</t>
  </si>
  <si>
    <t>El sistema debe permitir consultar el perfil individual de un usuario</t>
  </si>
  <si>
    <t>Act. 5 – Diseño de base de datos inicial</t>
  </si>
  <si>
    <t>Módulo Usuarios — Consulta de Usuario</t>
  </si>
  <si>
    <t>Christopher Reeker, David Muñoz</t>
  </si>
  <si>
    <t>TC-05</t>
  </si>
  <si>
    <t>Al seleccionar un usuario se muestran todos sus datos y su historial de préstamos</t>
  </si>
  <si>
    <t>RF-25 del backlog</t>
  </si>
  <si>
    <t>RF-06</t>
  </si>
  <si>
    <t>El sistema debe autenticar usuarios con correo y contraseña y controlar el acceso por rol</t>
  </si>
  <si>
    <t>Módulo Auth — Autenticación y Roles</t>
  </si>
  <si>
    <t>Administrador, Bibliotecario, Profesor, Alumno, Colaborador</t>
  </si>
  <si>
    <t>TC-06</t>
  </si>
  <si>
    <t>Usuario válido accede solo a las funciones de su rol; credenciales inválidas muestran error</t>
  </si>
  <si>
    <t>RF-26 del backlog (26.1, 26.2); 5 roles definidos</t>
  </si>
  <si>
    <t>RNF-01</t>
  </si>
  <si>
    <t>No Funcional</t>
  </si>
  <si>
    <t>Las contraseñas deben almacenarse con hashing seguro (bcrypt o equivalente)</t>
  </si>
  <si>
    <t>Act. 8 – Implementación de hashing y seguridad</t>
  </si>
  <si>
    <t>Backend — Seguridad de datos</t>
  </si>
  <si>
    <t>TC-07</t>
  </si>
  <si>
    <t>No se almacenan contraseñas en texto plano; ataque de fuerza bruta retarda respuesta</t>
  </si>
  <si>
    <t>Act. 8 del cronograma completada; validado en QA act. 9</t>
  </si>
  <si>
    <t>RF-07</t>
  </si>
  <si>
    <t>Gestionar Libros</t>
  </si>
  <si>
    <t>El sistema debe permitir registrar (alta) un nuevo libro con título, autor, ISBN, categoría y stock</t>
  </si>
  <si>
    <t>Sprint 1</t>
  </si>
  <si>
    <t>Act. 12 – Desarrollo CRUD de libros</t>
  </si>
  <si>
    <t>Módulo Libros — Alta de Libro</t>
  </si>
  <si>
    <t>TC-08</t>
  </si>
  <si>
    <t>El libro queda registrado en la BD y aparece en el catálogo con stock correcto</t>
  </si>
  <si>
    <t>RF-01, RF-02 del backlog Sprint 1</t>
  </si>
  <si>
    <t>RF-08</t>
  </si>
  <si>
    <t>El sistema debe permitir eliminar un libro del catálogo</t>
  </si>
  <si>
    <t>Módulo Libros — Baja de Libro</t>
  </si>
  <si>
    <t>TC-09</t>
  </si>
  <si>
    <t>El libro eliminado no aparece en búsquedas ni está disponible para préstamo</t>
  </si>
  <si>
    <t>No permitir eliminar si tiene préstamos activos</t>
  </si>
  <si>
    <t>RF-09</t>
  </si>
  <si>
    <t>El sistema debe permitir modificar los datos de un libro (título, autor, categoría, stock)</t>
  </si>
  <si>
    <t>Módulo Libros — Cambio de Libro</t>
  </si>
  <si>
    <t>TC-10</t>
  </si>
  <si>
    <t>Los cambios se reflejan en el catálogo inmediatamente sin afectar préstamos activos</t>
  </si>
  <si>
    <t>RF-03 del backlog Sprint 1</t>
  </si>
  <si>
    <t>RF-10</t>
  </si>
  <si>
    <t>El sistema debe mostrar el listado completo de libros del catálogo con paginación</t>
  </si>
  <si>
    <t>Act. 11 – Diseño módulo inventario</t>
  </si>
  <si>
    <t>Módulo Libros — Listado de Libros</t>
  </si>
  <si>
    <t>Administrador, Bibliotecario, Profesor (acceso limitado)</t>
  </si>
  <si>
    <t>David Muñoz</t>
  </si>
  <si>
    <t>TC-11</t>
  </si>
  <si>
    <t>Listado muestra todos los libros con título, autor, stock disponible y estado</t>
  </si>
  <si>
    <t>RF-24 del backlog (24.1, 24.2); acceso limitado para Profesor</t>
  </si>
  <si>
    <t>RF-11</t>
  </si>
  <si>
    <t>El sistema debe permitir consultar el detalle de un libro individual (ficha completa)</t>
  </si>
  <si>
    <t>Act. 13 – Diseño interfaz catálogo</t>
  </si>
  <si>
    <t>Módulo Libros — Consulta de Libro</t>
  </si>
  <si>
    <t>Rodrigo López, David Muñoz</t>
  </si>
  <si>
    <t>TC-12</t>
  </si>
  <si>
    <t>La ficha del libro muestra todos sus atributos y la disponibilidad en tiempo real</t>
  </si>
  <si>
    <t>Plataforma Web; interfaz catálogo diseñada en act. 13</t>
  </si>
  <si>
    <t>RF-12</t>
  </si>
  <si>
    <t>Buscar Libros</t>
  </si>
  <si>
    <t>El sistema debe permitir buscar libros por múltiples criterios: título, autor, ISBN, categoría y disponibilidad</t>
  </si>
  <si>
    <t>Act. 14 – Implementación buscador múltiple</t>
  </si>
  <si>
    <t>Módulo Búsqueda — Buscador de Libros</t>
  </si>
  <si>
    <t>TC-13</t>
  </si>
  <si>
    <t>La búsqueda retorna resultados relevantes en &lt; 2 seg; búsqueda vacía muestra todo el catálogo</t>
  </si>
  <si>
    <t>RF-05, RF-06, RF-10, RF-20 del backlog; disponible en Web y App</t>
  </si>
  <si>
    <t>RNF-02</t>
  </si>
  <si>
    <t>Los resultados de búsqueda deben cargarse en menos de 2 segundos</t>
  </si>
  <si>
    <t>Act. 17 – QA módulo inventario y búsqueda</t>
  </si>
  <si>
    <t>Módulo Búsqueda — Rendimiento</t>
  </si>
  <si>
    <t>Todos los roles</t>
  </si>
  <si>
    <t>Rodrigo López</t>
  </si>
  <si>
    <t>TC-14</t>
  </si>
  <si>
    <t>Prueba de carga con 1,000 libros: tiempo de respuesta promedio &lt; 2 seg</t>
  </si>
  <si>
    <t>Validado en QA act. 17 y pruebas de rendimiento act. 26</t>
  </si>
  <si>
    <t>RF-13</t>
  </si>
  <si>
    <t>Prestar Libro</t>
  </si>
  <si>
    <t>El sistema debe registrar un préstamo de libro asociando usuario, libro, fecha de préstamo y fecha límite de devolución</t>
  </si>
  <si>
    <t>Sprint 2</t>
  </si>
  <si>
    <t>Act. 20 – Desarrollo módulo préstamos</t>
  </si>
  <si>
    <t>Módulo Préstamos — Registro de Préstamo</t>
  </si>
  <si>
    <t>Administrador, Bibliotecario, Alumno, Profesor, Colaborador</t>
  </si>
  <si>
    <t>TC-15</t>
  </si>
  <si>
    <t>El préstamo se registra en BD; el stock del libro disminuye en 1; se genera boleta</t>
  </si>
  <si>
    <t>RF-07, RF-08, RF-09 del backlog Sprint 2</t>
  </si>
  <si>
    <t>RF-14</t>
  </si>
  <si>
    <t>El sistema debe generar una boleta/comprobante del préstamo con folio único</t>
  </si>
  <si>
    <t>Módulo Préstamos — Generación de Boleta</t>
  </si>
  <si>
    <t>TC-16</t>
  </si>
  <si>
    <t>La boleta contiene folio único, usuario, libro, fecha de préstamo y fecha límite</t>
  </si>
  <si>
    <t>Folio generado automáticamente; imprimible o descargable</t>
  </si>
  <si>
    <t>RF-15</t>
  </si>
  <si>
    <t>El sistema debe mostrar la lista de espera cuando no hay ejemplares disponibles de un libro</t>
  </si>
  <si>
    <t>Act. 19 – Análisis reglas de préstamos</t>
  </si>
  <si>
    <t>Módulo Préstamos — Lista de Espera</t>
  </si>
  <si>
    <t>TC-17</t>
  </si>
  <si>
    <t>Si stock = 0, el usuario puede registrarse en lista de espera y recibe aviso al haber disponibilidad</t>
  </si>
  <si>
    <t>RF-12, RF-13 del backlog Sprint 2</t>
  </si>
  <si>
    <t>RNF-03</t>
  </si>
  <si>
    <t>El sistema debe validar que el usuario no tenga préstamos vencidos antes de permitir un nuevo préstamo</t>
  </si>
  <si>
    <t>Act. 24 – Validación reglas de negocio</t>
  </si>
  <si>
    <t>Módulo Préstamos — Reglas de negocio</t>
  </si>
  <si>
    <t>TC-18</t>
  </si>
  <si>
    <t>Si el usuario tiene préstamos vencidos, el sistema bloquea el nuevo préstamo y muestra mensaje</t>
  </si>
  <si>
    <t>Regla de negocio validada en act. 24 del cronograma</t>
  </si>
  <si>
    <t>RF-16</t>
  </si>
  <si>
    <t>Devolver Libro</t>
  </si>
  <si>
    <t>El sistema debe registrar la devolución de un libro actualizando el stock disponible</t>
  </si>
  <si>
    <t>Act. 22 – Desarrollo módulo devoluciones</t>
  </si>
  <si>
    <t>Módulo Devoluciones — Registro de Devolución</t>
  </si>
  <si>
    <t>TC-19</t>
  </si>
  <si>
    <t>Al registrar devolución el stock del libro aumenta en 1 y el préstamo queda cerrado</t>
  </si>
  <si>
    <t>RF-14, RF-15 del backlog Sprint 2</t>
  </si>
  <si>
    <t>RF-17</t>
  </si>
  <si>
    <t>El sistema debe permitir renovar el préstamo de un libro si no hay lista de espera activa</t>
  </si>
  <si>
    <t>Módulo Devoluciones — Renovación de Préstamo</t>
  </si>
  <si>
    <t>TC-20</t>
  </si>
  <si>
    <t>La renovación extiende la fecha límite; no se permite si hay lista de espera o préstamos vencidos</t>
  </si>
  <si>
    <t>RF-16, RF-17 del backlog Sprint 2</t>
  </si>
  <si>
    <t>RF-18</t>
  </si>
  <si>
    <t>El sistema debe calcular y registrar multas por devolución tardía</t>
  </si>
  <si>
    <t>Act. 21 – Implementación cálculo de multas</t>
  </si>
  <si>
    <t>Módulo Devoluciones — Multas a Tesorería</t>
  </si>
  <si>
    <t>TC-21</t>
  </si>
  <si>
    <t>Si fecha de devolución &gt; fecha límite, se calcula multa por día de retraso; se genera reporte a tesorería</t>
  </si>
  <si>
    <t>RF-18, RF-19 del backlog (19.1, 19.2); cálculo en act. 21</t>
  </si>
  <si>
    <t>RNF-04</t>
  </si>
  <si>
    <t>Todo el sistema</t>
  </si>
  <si>
    <t>El sistema debe estar disponible en plataforma Web y App móvil</t>
  </si>
  <si>
    <t>Fase Final</t>
  </si>
  <si>
    <t>Act. 3 – Diseño de arquitectura del sistema</t>
  </si>
  <si>
    <t>Arquitectura general — Web + App</t>
  </si>
  <si>
    <t>Jonathan Humphreys, Christopher Reeker</t>
  </si>
  <si>
    <t>TC-22</t>
  </si>
  <si>
    <t>Todas las funciones core están disponibles en Web; App disponible para Alumno, Profesor y Colaborador</t>
  </si>
  <si>
    <t>Arquitectura definida en Sprint 0 act. 3; validada en UAT</t>
  </si>
  <si>
    <t>RNF-05</t>
  </si>
  <si>
    <t>El sistema debe pasar pruebas funcionales completas antes del pase a producción</t>
  </si>
  <si>
    <t>Act. 25 – Pruebas funcionales completas</t>
  </si>
  <si>
    <t>QA — Pruebas funcionales</t>
  </si>
  <si>
    <t>TC-23</t>
  </si>
  <si>
    <t>0 bugs críticos abiertos al cierre del sprint; todas las historias de usuario aceptadas</t>
  </si>
  <si>
    <t>Act. 25 completada; resultados documentados</t>
  </si>
  <si>
    <t>RNF-06</t>
  </si>
  <si>
    <t>El sistema debe pasar pruebas de seguridad y rendimiento</t>
  </si>
  <si>
    <t>Act. 26 – Pruebas de seguridad y rendimiento</t>
  </si>
  <si>
    <t>QA — Seguridad y Rendimiento</t>
  </si>
  <si>
    <t>Rodrigo López, Jonathan Humphreys</t>
  </si>
  <si>
    <t>TC-24</t>
  </si>
  <si>
    <t>Sin vulnerabilidades críticas (SQL injection, XSS); tiempo de respuesta &lt; 2 seg bajo carga</t>
  </si>
  <si>
    <t>Act. 26 completada; incidencias corregidas en act. 27</t>
  </si>
  <si>
    <t>RNF-07</t>
  </si>
  <si>
    <t>El personal debe ser capacitado antes del pase a producción</t>
  </si>
  <si>
    <t>Act. 31 – Capacitación al personal</t>
  </si>
  <si>
    <t>Operación — Capacitación</t>
  </si>
  <si>
    <t>Jonathan Humphreys, David Muñoz</t>
  </si>
  <si>
    <t>TC-25</t>
  </si>
  <si>
    <t>El personal opera el sistema sin asistencia técnica durante demostración post-capacitación</t>
  </si>
  <si>
    <t>⏳ Pendiente</t>
  </si>
  <si>
    <t>Act. 31 en estado Pendiente según cronograma</t>
  </si>
  <si>
    <t>RNF-08</t>
  </si>
  <si>
    <t>El sistema debe tener documentación técnica y de usuario completa antes del cierre</t>
  </si>
  <si>
    <t>Act. 32 – Elaboración documentación final</t>
  </si>
  <si>
    <t>Documentación — Manual técnico y de usuario</t>
  </si>
  <si>
    <t>Todo el equipo</t>
  </si>
  <si>
    <t>TC-26</t>
  </si>
  <si>
    <t>Manual de usuario cubre todos los flujos; documentación técnica incluye arquitectura y BD</t>
  </si>
  <si>
    <t>Act. 32 en estado Pendiente según cronograma</t>
  </si>
  <si>
    <t>RF-19</t>
  </si>
  <si>
    <t>El sistema debe enviar notificaciones automáticas al usuario cuando su fecha de devolución esté próxima</t>
  </si>
  <si>
    <t>Act. 23 – Integración de notificaciones</t>
  </si>
  <si>
    <t>Módulo Notificaciones — Alertas de devolución</t>
  </si>
  <si>
    <t>Alumno, Profesor, Colaborador</t>
  </si>
  <si>
    <t>TC-27</t>
  </si>
  <si>
    <t>El usuario recibe notificación 2 días antes de la fecha límite de devolución</t>
  </si>
  <si>
    <t>Act. 23 completada; integración de notificaciones</t>
  </si>
  <si>
    <t>RF-20</t>
  </si>
  <si>
    <t>El sistema debe generar reportes de préstamos, devoluciones, multas y stock para el administrador</t>
  </si>
  <si>
    <t>Act. 29 – Optimización final del sistema</t>
  </si>
  <si>
    <t>Módulo Reportes — Dashboard administrativo</t>
  </si>
  <si>
    <t>TC-28</t>
  </si>
  <si>
    <t>El dashboard muestra préstamos activos, libros más solicitados, multas pendientes y stock crítico</t>
  </si>
  <si>
    <t>Dashboard administrativo desarrollado en act. 15</t>
  </si>
  <si>
    <t>RESUMEN RTM — Ducky: Sistema de Biblioteca</t>
  </si>
  <si>
    <t>Dashboard de cobertura por función del backlog, sprint y tipo de requerimiento</t>
  </si>
  <si>
    <t>Total Reqs.</t>
  </si>
  <si>
    <t>Funcionales</t>
  </si>
  <si>
    <t>No Funcionales</t>
  </si>
  <si>
    <t>✅ Implementados</t>
  </si>
  <si>
    <t>⏳ Pendientes</t>
  </si>
  <si>
    <t>Cobertura %</t>
  </si>
  <si>
    <t>Total</t>
  </si>
  <si>
    <t>No Func.</t>
  </si>
  <si>
    <t>Implementados</t>
  </si>
  <si>
    <t>Pendientes</t>
  </si>
  <si>
    <t>Cobertura</t>
  </si>
  <si>
    <t>COBERTURA POR FUNCIÓN DEL BACKLOG</t>
  </si>
  <si>
    <t>Función</t>
  </si>
  <si>
    <t>LEYENDA DE ESTADOS</t>
  </si>
  <si>
    <t>Desarrollado, probado y aceptado en el sprint correspondiente</t>
  </si>
  <si>
    <t>🔄 En progreso</t>
  </si>
  <si>
    <t>En desarrollo activo dentro del sprint actual</t>
  </si>
  <si>
    <t>Identificado pero no iniciado; pendiente según cronograma</t>
  </si>
  <si>
    <t>❌ No aplica</t>
  </si>
  <si>
    <t>Descartado o fusionado con otro requerimiento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</si>
</sst>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1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9.0"/>
      <color rgb="FFFFFFFF"/>
      <name val="Calibri"/>
    </font>
    <font>
      <i/>
      <sz val="8.0"/>
      <color rgb="FF444444"/>
      <name val="Calibri"/>
    </font>
    <font>
      <b/>
      <sz val="9.0"/>
      <color rgb="FFFFFFFF"/>
      <name val="Calibri"/>
    </font>
    <font>
      <b/>
      <sz val="9.0"/>
      <color rgb="FF2E6DA4"/>
      <name val="Calibri"/>
    </font>
    <font>
      <b/>
      <sz val="8.0"/>
      <color rgb="FFFFFFFF"/>
      <name val="Calibri"/>
    </font>
    <font>
      <b/>
      <sz val="9.0"/>
      <color rgb="FF1A3A5C"/>
      <name val="Calibri"/>
    </font>
    <font>
      <sz val="9.0"/>
      <color rgb="FF222222"/>
      <name val="Calibri"/>
    </font>
    <font>
      <b/>
      <sz val="8.0"/>
      <color rgb="FF1A3A5C"/>
      <name val="Calibri"/>
    </font>
    <font>
      <b/>
      <sz val="9.0"/>
      <color rgb="FFC0392B"/>
      <name val="Calibri"/>
    </font>
    <font>
      <b/>
      <sz val="9.0"/>
      <color rgb="FF1E8449"/>
      <name val="Calibri"/>
    </font>
    <font>
      <b/>
      <sz val="9.0"/>
      <color rgb="FF7D6608"/>
      <name val="Calibri"/>
    </font>
    <font>
      <b/>
      <sz val="9.0"/>
      <color rgb="FF6C3483"/>
      <name val="Calibri"/>
    </font>
    <font>
      <b/>
      <sz val="8.0"/>
      <color rgb="FF1E8449"/>
      <name val="Calibri"/>
    </font>
    <font>
      <b/>
      <sz val="8.0"/>
      <color rgb="FF784212"/>
      <name val="Calibri"/>
    </font>
    <font>
      <b/>
      <sz val="8.0"/>
      <color rgb="FF922B21"/>
      <name val="Calibri"/>
    </font>
    <font>
      <b/>
      <sz val="9.0"/>
      <color rgb="FF8B6914"/>
      <name val="Calibri"/>
    </font>
    <font>
      <b/>
      <sz val="10.0"/>
      <color rgb="FFFFFFFF"/>
      <name val="Calibri"/>
    </font>
    <font>
      <b/>
      <sz val="22.0"/>
      <color rgb="FF1A3A5C"/>
      <name val="Calibri"/>
    </font>
    <font>
      <b/>
      <sz val="22.0"/>
      <color rgb="FF2E6DA4"/>
      <name val="Calibri"/>
    </font>
    <font>
      <b/>
      <sz val="22.0"/>
      <color rgb="FF6C3483"/>
      <name val="Calibri"/>
    </font>
    <font>
      <b/>
      <sz val="22.0"/>
      <color rgb="FF1E8449"/>
      <name val="Calibri"/>
    </font>
    <font>
      <b/>
      <sz val="22.0"/>
      <color rgb="FFE67E22"/>
      <name val="Calibri"/>
    </font>
    <font>
      <b/>
      <sz val="22.0"/>
      <color rgb="FF17A589"/>
      <name val="Calibri"/>
    </font>
    <font>
      <sz val="10.0"/>
      <color rgb="FF222222"/>
      <name val="Calibri"/>
    </font>
    <font>
      <b/>
      <sz val="9.0"/>
      <color rgb="FF784212"/>
      <name val="Calibri"/>
    </font>
    <font>
      <b/>
      <sz val="9.0"/>
      <color rgb="FF922B21"/>
      <name val="Calibri"/>
    </font>
    <font>
      <b/>
      <sz val="9.0"/>
      <color rgb="FFE67E22"/>
      <name val="Calibri"/>
    </font>
    <font>
      <b/>
      <sz val="9.0"/>
      <color rgb="FF444444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2E6DA4"/>
        <bgColor rgb="FF2E6DA4"/>
      </patternFill>
    </fill>
    <fill>
      <patternFill patternType="solid">
        <fgColor rgb="FFD6E8F7"/>
        <bgColor rgb="FFD6E8F7"/>
      </patternFill>
    </fill>
    <fill>
      <patternFill patternType="solid">
        <fgColor rgb="FFFFFFFF"/>
        <bgColor rgb="FFFFFFFF"/>
      </patternFill>
    </fill>
    <fill>
      <patternFill patternType="solid">
        <fgColor rgb="FFDDEEFF"/>
        <bgColor rgb="FFDDEEFF"/>
      </patternFill>
    </fill>
    <fill>
      <patternFill patternType="solid">
        <fgColor rgb="FFFDEDEC"/>
        <bgColor rgb="FFFDEDEC"/>
      </patternFill>
    </fill>
    <fill>
      <patternFill patternType="solid">
        <fgColor rgb="FFEAFAF1"/>
        <bgColor rgb="FFEAFAF1"/>
      </patternFill>
    </fill>
    <fill>
      <patternFill patternType="solid">
        <fgColor rgb="FFF7FBFF"/>
        <bgColor rgb="FFF7FBFF"/>
      </patternFill>
    </fill>
    <fill>
      <patternFill patternType="solid">
        <fgColor rgb="FFFEF9E7"/>
        <bgColor rgb="FFFEF9E7"/>
      </patternFill>
    </fill>
    <fill>
      <patternFill patternType="solid">
        <fgColor rgb="FF6C3483"/>
        <bgColor rgb="FF6C3483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F4F8FB"/>
        <bgColor rgb="FFF4F8FB"/>
      </patternFill>
    </fill>
    <fill>
      <patternFill patternType="solid">
        <fgColor rgb="FFA9DFBF"/>
        <bgColor rgb="FFA9DFBF"/>
      </patternFill>
    </fill>
    <fill>
      <patternFill patternType="solid">
        <fgColor rgb="FFFEF5E7"/>
        <bgColor rgb="FFFEF5E7"/>
      </patternFill>
    </fill>
    <fill>
      <patternFill patternType="solid">
        <fgColor rgb="FFF2F2F2"/>
        <bgColor rgb="FFF2F2F2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6" fontId="10" numFmtId="0" xfId="0" applyAlignment="1" applyBorder="1" applyFill="1" applyFont="1">
      <alignment horizontal="center" shrinkToFit="0" vertical="center" wrapText="1"/>
    </xf>
    <xf borderId="4" fillId="7" fontId="11" numFmtId="0" xfId="0" applyAlignment="1" applyBorder="1" applyFill="1" applyFont="1">
      <alignment horizontal="center" shrinkToFit="0" vertical="center" wrapText="0"/>
    </xf>
    <xf borderId="4" fillId="8" fontId="12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0"/>
    </xf>
    <xf borderId="4" fillId="9" fontId="9" numFmtId="0" xfId="0" applyAlignment="1" applyBorder="1" applyFont="1">
      <alignment horizontal="left" shrinkToFit="0" vertical="center" wrapText="1"/>
    </xf>
    <xf borderId="4" fillId="10" fontId="13" numFmtId="0" xfId="0" applyAlignment="1" applyBorder="1" applyFill="1" applyFont="1">
      <alignment horizontal="center" shrinkToFit="0" vertical="center" wrapText="0"/>
    </xf>
    <xf borderId="4" fillId="5" fontId="14" numFmtId="0" xfId="0" applyAlignment="1" applyBorder="1" applyFont="1">
      <alignment horizontal="center" shrinkToFit="0" vertical="center" wrapText="0"/>
    </xf>
    <xf borderId="4" fillId="11" fontId="7" numFmtId="0" xfId="0" applyAlignment="1" applyBorder="1" applyFill="1" applyFont="1">
      <alignment horizontal="center" shrinkToFit="0" vertical="center" wrapText="1"/>
    </xf>
    <xf borderId="4" fillId="12" fontId="15" numFmtId="0" xfId="0" applyAlignment="1" applyBorder="1" applyFill="1" applyFont="1">
      <alignment horizontal="center" shrinkToFit="0" vertical="center" wrapText="1"/>
    </xf>
    <xf borderId="4" fillId="9" fontId="14" numFmtId="0" xfId="0" applyAlignment="1" applyBorder="1" applyFont="1">
      <alignment horizontal="center" shrinkToFit="0" vertical="center" wrapText="0"/>
    </xf>
    <xf borderId="4" fillId="13" fontId="16" numFmtId="0" xfId="0" applyAlignment="1" applyBorder="1" applyFill="1" applyFont="1">
      <alignment horizontal="center" shrinkToFit="0" vertical="center" wrapText="1"/>
    </xf>
    <xf borderId="4" fillId="14" fontId="17" numFmtId="0" xfId="0" applyAlignment="1" applyBorder="1" applyFill="1" applyFont="1">
      <alignment horizontal="center" shrinkToFit="0" vertical="center" wrapText="1"/>
    </xf>
    <xf borderId="4" fillId="10" fontId="1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15" fontId="5" numFmtId="0" xfId="0" applyAlignment="1" applyBorder="1" applyFill="1" applyFont="1">
      <alignment horizontal="center" shrinkToFit="0" vertical="center" wrapText="1"/>
    </xf>
    <xf borderId="4" fillId="16" fontId="5" numFmtId="0" xfId="0" applyAlignment="1" applyBorder="1" applyFill="1" applyFont="1">
      <alignment horizontal="center" shrinkToFit="0" vertical="center" wrapText="1"/>
    </xf>
    <xf borderId="4" fillId="17" fontId="5" numFmtId="0" xfId="0" applyAlignment="1" applyBorder="1" applyFill="1" applyFont="1">
      <alignment horizontal="center" shrinkToFit="0" vertical="center" wrapText="1"/>
    </xf>
    <xf borderId="4" fillId="18" fontId="20" numFmtId="0" xfId="0" applyAlignment="1" applyBorder="1" applyFill="1" applyFont="1">
      <alignment horizontal="center" shrinkToFit="0" vertical="center" wrapText="0"/>
    </xf>
    <xf borderId="4" fillId="18" fontId="21" numFmtId="0" xfId="0" applyAlignment="1" applyBorder="1" applyFont="1">
      <alignment horizontal="center" shrinkToFit="0" vertical="center" wrapText="0"/>
    </xf>
    <xf borderId="4" fillId="18" fontId="22" numFmtId="0" xfId="0" applyAlignment="1" applyBorder="1" applyFont="1">
      <alignment horizontal="center" shrinkToFit="0" vertical="center" wrapText="0"/>
    </xf>
    <xf borderId="4" fillId="18" fontId="23" numFmtId="0" xfId="0" applyAlignment="1" applyBorder="1" applyFont="1">
      <alignment horizontal="center" shrinkToFit="0" vertical="center" wrapText="0"/>
    </xf>
    <xf borderId="4" fillId="18" fontId="24" numFmtId="0" xfId="0" applyAlignment="1" applyBorder="1" applyFont="1">
      <alignment horizontal="center" shrinkToFit="0" vertical="center" wrapText="0"/>
    </xf>
    <xf borderId="4" fillId="18" fontId="25" numFmtId="164" xfId="0" applyAlignment="1" applyBorder="1" applyFont="1" applyNumberFormat="1">
      <alignment horizontal="center" shrinkToFit="0" vertical="center" wrapText="0"/>
    </xf>
    <xf borderId="4" fillId="6" fontId="8" numFmtId="0" xfId="0" applyAlignment="1" applyBorder="1" applyFont="1">
      <alignment horizontal="left" shrinkToFit="0" vertical="center" wrapText="0"/>
    </xf>
    <xf borderId="4" fillId="5" fontId="26" numFmtId="0" xfId="0" applyAlignment="1" applyBorder="1" applyFont="1">
      <alignment horizontal="center" shrinkToFit="0" vertical="center" wrapText="0"/>
    </xf>
    <xf borderId="4" fillId="5" fontId="26" numFmtId="9" xfId="0" applyAlignment="1" applyBorder="1" applyFont="1" applyNumberFormat="1">
      <alignment horizontal="center" shrinkToFit="0" vertical="center" wrapText="0"/>
    </xf>
    <xf borderId="4" fillId="12" fontId="12" numFmtId="0" xfId="0" applyAlignment="1" applyBorder="1" applyFont="1">
      <alignment horizontal="left" shrinkToFit="0" vertical="center" wrapText="0"/>
    </xf>
    <xf borderId="4" fillId="13" fontId="27" numFmtId="0" xfId="0" applyAlignment="1" applyBorder="1" applyFont="1">
      <alignment horizontal="left" shrinkToFit="0" vertical="center" wrapText="0"/>
    </xf>
    <xf borderId="4" fillId="14" fontId="28" numFmtId="0" xfId="0" applyAlignment="1" applyBorder="1" applyFont="1">
      <alignment horizontal="left" shrinkToFit="0" vertical="center" wrapText="0"/>
    </xf>
    <xf borderId="5" fillId="2" fontId="19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3" fontId="5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4" fillId="5" fontId="9" numFmtId="9" xfId="0" applyAlignment="1" applyBorder="1" applyFont="1" applyNumberFormat="1">
      <alignment horizontal="center" shrinkToFit="0" vertical="center" wrapText="0"/>
    </xf>
    <xf borderId="4" fillId="19" fontId="8" numFmtId="0" xfId="0" applyAlignment="1" applyBorder="1" applyFill="1" applyFont="1">
      <alignment horizontal="left" shrinkToFit="0" vertical="center" wrapText="0"/>
    </xf>
    <xf borderId="4" fillId="12" fontId="8" numFmtId="0" xfId="0" applyAlignment="1" applyBorder="1" applyFont="1">
      <alignment horizontal="left" shrinkToFit="0" vertical="center" wrapText="0"/>
    </xf>
    <xf borderId="4" fillId="20" fontId="8" numFmtId="0" xfId="0" applyAlignment="1" applyBorder="1" applyFill="1" applyFont="1">
      <alignment horizontal="left" shrinkToFit="0" vertical="center" wrapText="0"/>
    </xf>
    <xf borderId="4" fillId="7" fontId="8" numFmtId="0" xfId="0" applyAlignment="1" applyBorder="1" applyFont="1">
      <alignment horizontal="left" shrinkToFit="0" vertical="center" wrapText="0"/>
    </xf>
    <xf borderId="4" fillId="21" fontId="8" numFmtId="0" xfId="0" applyAlignment="1" applyBorder="1" applyFill="1" applyFont="1">
      <alignment horizontal="left" shrinkToFit="0" vertical="center" wrapText="0"/>
    </xf>
    <xf borderId="4" fillId="8" fontId="12" numFmtId="0" xfId="0" applyAlignment="1" applyBorder="1" applyFont="1">
      <alignment horizontal="center" shrinkToFit="0" vertical="center" wrapText="0"/>
    </xf>
    <xf borderId="5" fillId="21" fontId="9" numFmtId="0" xfId="0" applyAlignment="1" applyBorder="1" applyFont="1">
      <alignment horizontal="left" shrinkToFit="0" vertical="center" wrapText="0"/>
    </xf>
    <xf borderId="4" fillId="20" fontId="29" numFmtId="0" xfId="0" applyAlignment="1" applyBorder="1" applyFont="1">
      <alignment horizontal="center" shrinkToFit="0" vertical="center" wrapText="0"/>
    </xf>
    <xf borderId="4" fillId="21" fontId="30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9.0"/>
    <col customWidth="1" min="3" max="3" width="18.0"/>
    <col customWidth="1" min="4" max="4" width="40.0"/>
    <col customWidth="1" min="5" max="5" width="11.0"/>
    <col customWidth="1" min="6" max="6" width="26.0"/>
    <col customWidth="1" min="7" max="7" width="28.0"/>
    <col customWidth="1" min="8" max="8" width="22.0"/>
    <col customWidth="1" min="9" max="9" width="26.0"/>
    <col customWidth="1" min="10" max="10" width="11.0"/>
    <col customWidth="1" min="11" max="11" width="38.0"/>
    <col customWidth="1" min="12" max="12" width="9.0"/>
    <col customWidth="1" min="13" max="13" width="18.0"/>
    <col customWidth="1" min="14" max="14" width="30.0"/>
    <col customWidth="1" min="15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3.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36.0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</row>
    <row r="5" ht="36.0" customHeight="1">
      <c r="A5" s="7" t="s">
        <v>17</v>
      </c>
      <c r="B5" s="8" t="s">
        <v>18</v>
      </c>
      <c r="C5" s="9" t="s">
        <v>19</v>
      </c>
      <c r="D5" s="10" t="s">
        <v>20</v>
      </c>
      <c r="E5" s="11" t="s">
        <v>21</v>
      </c>
      <c r="F5" s="10" t="s">
        <v>22</v>
      </c>
      <c r="G5" s="10" t="s">
        <v>23</v>
      </c>
      <c r="H5" s="10" t="s">
        <v>24</v>
      </c>
      <c r="I5" s="10" t="s">
        <v>25</v>
      </c>
      <c r="J5" s="10" t="s">
        <v>26</v>
      </c>
      <c r="K5" s="10" t="s">
        <v>27</v>
      </c>
      <c r="L5" s="12" t="s">
        <v>28</v>
      </c>
      <c r="M5" s="13" t="s">
        <v>29</v>
      </c>
      <c r="N5" s="10" t="s">
        <v>30</v>
      </c>
    </row>
    <row r="6" ht="36.0" customHeight="1">
      <c r="A6" s="14" t="s">
        <v>31</v>
      </c>
      <c r="B6" s="8" t="s">
        <v>18</v>
      </c>
      <c r="C6" s="9" t="s">
        <v>19</v>
      </c>
      <c r="D6" s="15" t="s">
        <v>32</v>
      </c>
      <c r="E6" s="11" t="s">
        <v>21</v>
      </c>
      <c r="F6" s="15" t="s">
        <v>33</v>
      </c>
      <c r="G6" s="15" t="s">
        <v>34</v>
      </c>
      <c r="H6" s="15" t="s">
        <v>35</v>
      </c>
      <c r="I6" s="15" t="s">
        <v>36</v>
      </c>
      <c r="J6" s="15" t="s">
        <v>37</v>
      </c>
      <c r="K6" s="15" t="s">
        <v>38</v>
      </c>
      <c r="L6" s="12" t="s">
        <v>28</v>
      </c>
      <c r="M6" s="13" t="s">
        <v>29</v>
      </c>
      <c r="N6" s="15" t="s">
        <v>39</v>
      </c>
    </row>
    <row r="7" ht="36.0" customHeight="1">
      <c r="A7" s="7" t="s">
        <v>40</v>
      </c>
      <c r="B7" s="8" t="s">
        <v>18</v>
      </c>
      <c r="C7" s="9" t="s">
        <v>19</v>
      </c>
      <c r="D7" s="10" t="s">
        <v>41</v>
      </c>
      <c r="E7" s="11" t="s">
        <v>21</v>
      </c>
      <c r="F7" s="10" t="s">
        <v>33</v>
      </c>
      <c r="G7" s="10" t="s">
        <v>42</v>
      </c>
      <c r="H7" s="10" t="s">
        <v>35</v>
      </c>
      <c r="I7" s="10" t="s">
        <v>36</v>
      </c>
      <c r="J7" s="10" t="s">
        <v>43</v>
      </c>
      <c r="K7" s="10" t="s">
        <v>44</v>
      </c>
      <c r="L7" s="16" t="s">
        <v>45</v>
      </c>
      <c r="M7" s="13" t="s">
        <v>29</v>
      </c>
      <c r="N7" s="10" t="s">
        <v>39</v>
      </c>
    </row>
    <row r="8" ht="36.0" customHeight="1">
      <c r="A8" s="14" t="s">
        <v>46</v>
      </c>
      <c r="B8" s="8" t="s">
        <v>18</v>
      </c>
      <c r="C8" s="9" t="s">
        <v>19</v>
      </c>
      <c r="D8" s="15" t="s">
        <v>47</v>
      </c>
      <c r="E8" s="11" t="s">
        <v>21</v>
      </c>
      <c r="F8" s="15" t="s">
        <v>33</v>
      </c>
      <c r="G8" s="15" t="s">
        <v>48</v>
      </c>
      <c r="H8" s="15" t="s">
        <v>24</v>
      </c>
      <c r="I8" s="15" t="s">
        <v>36</v>
      </c>
      <c r="J8" s="15" t="s">
        <v>49</v>
      </c>
      <c r="K8" s="15" t="s">
        <v>50</v>
      </c>
      <c r="L8" s="16" t="s">
        <v>45</v>
      </c>
      <c r="M8" s="13" t="s">
        <v>29</v>
      </c>
      <c r="N8" s="15" t="s">
        <v>51</v>
      </c>
    </row>
    <row r="9" ht="36.0" customHeight="1">
      <c r="A9" s="7" t="s">
        <v>52</v>
      </c>
      <c r="B9" s="8" t="s">
        <v>18</v>
      </c>
      <c r="C9" s="9" t="s">
        <v>19</v>
      </c>
      <c r="D9" s="10" t="s">
        <v>53</v>
      </c>
      <c r="E9" s="11" t="s">
        <v>21</v>
      </c>
      <c r="F9" s="10" t="s">
        <v>54</v>
      </c>
      <c r="G9" s="10" t="s">
        <v>55</v>
      </c>
      <c r="H9" s="10" t="s">
        <v>24</v>
      </c>
      <c r="I9" s="10" t="s">
        <v>56</v>
      </c>
      <c r="J9" s="10" t="s">
        <v>57</v>
      </c>
      <c r="K9" s="10" t="s">
        <v>58</v>
      </c>
      <c r="L9" s="16" t="s">
        <v>45</v>
      </c>
      <c r="M9" s="13" t="s">
        <v>29</v>
      </c>
      <c r="N9" s="10" t="s">
        <v>59</v>
      </c>
    </row>
    <row r="10" ht="36.0" customHeight="1">
      <c r="A10" s="14" t="s">
        <v>60</v>
      </c>
      <c r="B10" s="8" t="s">
        <v>18</v>
      </c>
      <c r="C10" s="9" t="s">
        <v>19</v>
      </c>
      <c r="D10" s="15" t="s">
        <v>61</v>
      </c>
      <c r="E10" s="11" t="s">
        <v>21</v>
      </c>
      <c r="F10" s="15" t="s">
        <v>22</v>
      </c>
      <c r="G10" s="15" t="s">
        <v>62</v>
      </c>
      <c r="H10" s="15" t="s">
        <v>63</v>
      </c>
      <c r="I10" s="15" t="s">
        <v>25</v>
      </c>
      <c r="J10" s="15" t="s">
        <v>64</v>
      </c>
      <c r="K10" s="15" t="s">
        <v>65</v>
      </c>
      <c r="L10" s="12" t="s">
        <v>28</v>
      </c>
      <c r="M10" s="13" t="s">
        <v>29</v>
      </c>
      <c r="N10" s="15" t="s">
        <v>66</v>
      </c>
    </row>
    <row r="11" ht="36.0" customHeight="1">
      <c r="A11" s="17" t="s">
        <v>67</v>
      </c>
      <c r="B11" s="18" t="s">
        <v>68</v>
      </c>
      <c r="C11" s="9" t="s">
        <v>19</v>
      </c>
      <c r="D11" s="10" t="s">
        <v>69</v>
      </c>
      <c r="E11" s="11" t="s">
        <v>21</v>
      </c>
      <c r="F11" s="10" t="s">
        <v>70</v>
      </c>
      <c r="G11" s="10" t="s">
        <v>71</v>
      </c>
      <c r="H11" s="10" t="s">
        <v>35</v>
      </c>
      <c r="I11" s="10" t="s">
        <v>36</v>
      </c>
      <c r="J11" s="10" t="s">
        <v>72</v>
      </c>
      <c r="K11" s="10" t="s">
        <v>73</v>
      </c>
      <c r="L11" s="12" t="s">
        <v>28</v>
      </c>
      <c r="M11" s="13" t="s">
        <v>29</v>
      </c>
      <c r="N11" s="10" t="s">
        <v>74</v>
      </c>
    </row>
    <row r="12" ht="36.0" customHeight="1">
      <c r="A12" s="14" t="s">
        <v>75</v>
      </c>
      <c r="B12" s="8" t="s">
        <v>18</v>
      </c>
      <c r="C12" s="9" t="s">
        <v>76</v>
      </c>
      <c r="D12" s="15" t="s">
        <v>77</v>
      </c>
      <c r="E12" s="19" t="s">
        <v>78</v>
      </c>
      <c r="F12" s="15" t="s">
        <v>79</v>
      </c>
      <c r="G12" s="15" t="s">
        <v>80</v>
      </c>
      <c r="H12" s="15" t="s">
        <v>24</v>
      </c>
      <c r="I12" s="15" t="s">
        <v>25</v>
      </c>
      <c r="J12" s="15" t="s">
        <v>81</v>
      </c>
      <c r="K12" s="15" t="s">
        <v>82</v>
      </c>
      <c r="L12" s="12" t="s">
        <v>28</v>
      </c>
      <c r="M12" s="13" t="s">
        <v>29</v>
      </c>
      <c r="N12" s="15" t="s">
        <v>83</v>
      </c>
    </row>
    <row r="13" ht="36.0" customHeight="1">
      <c r="A13" s="7" t="s">
        <v>84</v>
      </c>
      <c r="B13" s="8" t="s">
        <v>18</v>
      </c>
      <c r="C13" s="9" t="s">
        <v>76</v>
      </c>
      <c r="D13" s="10" t="s">
        <v>85</v>
      </c>
      <c r="E13" s="19" t="s">
        <v>78</v>
      </c>
      <c r="F13" s="10" t="s">
        <v>79</v>
      </c>
      <c r="G13" s="10" t="s">
        <v>86</v>
      </c>
      <c r="H13" s="10" t="s">
        <v>24</v>
      </c>
      <c r="I13" s="10" t="s">
        <v>25</v>
      </c>
      <c r="J13" s="10" t="s">
        <v>87</v>
      </c>
      <c r="K13" s="10" t="s">
        <v>88</v>
      </c>
      <c r="L13" s="12" t="s">
        <v>28</v>
      </c>
      <c r="M13" s="13" t="s">
        <v>29</v>
      </c>
      <c r="N13" s="10" t="s">
        <v>89</v>
      </c>
    </row>
    <row r="14" ht="36.0" customHeight="1">
      <c r="A14" s="14" t="s">
        <v>90</v>
      </c>
      <c r="B14" s="8" t="s">
        <v>18</v>
      </c>
      <c r="C14" s="9" t="s">
        <v>76</v>
      </c>
      <c r="D14" s="15" t="s">
        <v>91</v>
      </c>
      <c r="E14" s="19" t="s">
        <v>78</v>
      </c>
      <c r="F14" s="15" t="s">
        <v>79</v>
      </c>
      <c r="G14" s="15" t="s">
        <v>92</v>
      </c>
      <c r="H14" s="15" t="s">
        <v>24</v>
      </c>
      <c r="I14" s="15" t="s">
        <v>25</v>
      </c>
      <c r="J14" s="15" t="s">
        <v>93</v>
      </c>
      <c r="K14" s="15" t="s">
        <v>94</v>
      </c>
      <c r="L14" s="16" t="s">
        <v>45</v>
      </c>
      <c r="M14" s="13" t="s">
        <v>29</v>
      </c>
      <c r="N14" s="15" t="s">
        <v>95</v>
      </c>
    </row>
    <row r="15" ht="36.0" customHeight="1">
      <c r="A15" s="7" t="s">
        <v>96</v>
      </c>
      <c r="B15" s="8" t="s">
        <v>18</v>
      </c>
      <c r="C15" s="9" t="s">
        <v>76</v>
      </c>
      <c r="D15" s="10" t="s">
        <v>97</v>
      </c>
      <c r="E15" s="19" t="s">
        <v>78</v>
      </c>
      <c r="F15" s="10" t="s">
        <v>98</v>
      </c>
      <c r="G15" s="10" t="s">
        <v>99</v>
      </c>
      <c r="H15" s="10" t="s">
        <v>100</v>
      </c>
      <c r="I15" s="10" t="s">
        <v>101</v>
      </c>
      <c r="J15" s="10" t="s">
        <v>102</v>
      </c>
      <c r="K15" s="10" t="s">
        <v>103</v>
      </c>
      <c r="L15" s="12" t="s">
        <v>28</v>
      </c>
      <c r="M15" s="13" t="s">
        <v>29</v>
      </c>
      <c r="N15" s="10" t="s">
        <v>104</v>
      </c>
    </row>
    <row r="16" ht="36.0" customHeight="1">
      <c r="A16" s="14" t="s">
        <v>105</v>
      </c>
      <c r="B16" s="8" t="s">
        <v>18</v>
      </c>
      <c r="C16" s="9" t="s">
        <v>76</v>
      </c>
      <c r="D16" s="15" t="s">
        <v>106</v>
      </c>
      <c r="E16" s="19" t="s">
        <v>78</v>
      </c>
      <c r="F16" s="15" t="s">
        <v>107</v>
      </c>
      <c r="G16" s="15" t="s">
        <v>108</v>
      </c>
      <c r="H16" s="15" t="s">
        <v>100</v>
      </c>
      <c r="I16" s="15" t="s">
        <v>109</v>
      </c>
      <c r="J16" s="15" t="s">
        <v>110</v>
      </c>
      <c r="K16" s="15" t="s">
        <v>111</v>
      </c>
      <c r="L16" s="16" t="s">
        <v>45</v>
      </c>
      <c r="M16" s="13" t="s">
        <v>29</v>
      </c>
      <c r="N16" s="15" t="s">
        <v>112</v>
      </c>
    </row>
    <row r="17" ht="36.0" customHeight="1">
      <c r="A17" s="7" t="s">
        <v>113</v>
      </c>
      <c r="B17" s="8" t="s">
        <v>18</v>
      </c>
      <c r="C17" s="9" t="s">
        <v>114</v>
      </c>
      <c r="D17" s="10" t="s">
        <v>115</v>
      </c>
      <c r="E17" s="19" t="s">
        <v>78</v>
      </c>
      <c r="F17" s="10" t="s">
        <v>116</v>
      </c>
      <c r="G17" s="10" t="s">
        <v>117</v>
      </c>
      <c r="H17" s="10" t="s">
        <v>63</v>
      </c>
      <c r="I17" s="10" t="s">
        <v>25</v>
      </c>
      <c r="J17" s="10" t="s">
        <v>118</v>
      </c>
      <c r="K17" s="10" t="s">
        <v>119</v>
      </c>
      <c r="L17" s="12" t="s">
        <v>28</v>
      </c>
      <c r="M17" s="13" t="s">
        <v>29</v>
      </c>
      <c r="N17" s="10" t="s">
        <v>120</v>
      </c>
    </row>
    <row r="18" ht="36.0" customHeight="1">
      <c r="A18" s="20" t="s">
        <v>121</v>
      </c>
      <c r="B18" s="18" t="s">
        <v>68</v>
      </c>
      <c r="C18" s="9" t="s">
        <v>114</v>
      </c>
      <c r="D18" s="15" t="s">
        <v>122</v>
      </c>
      <c r="E18" s="19" t="s">
        <v>78</v>
      </c>
      <c r="F18" s="15" t="s">
        <v>123</v>
      </c>
      <c r="G18" s="15" t="s">
        <v>124</v>
      </c>
      <c r="H18" s="15" t="s">
        <v>125</v>
      </c>
      <c r="I18" s="15" t="s">
        <v>126</v>
      </c>
      <c r="J18" s="15" t="s">
        <v>127</v>
      </c>
      <c r="K18" s="15" t="s">
        <v>128</v>
      </c>
      <c r="L18" s="16" t="s">
        <v>45</v>
      </c>
      <c r="M18" s="13" t="s">
        <v>29</v>
      </c>
      <c r="N18" s="15" t="s">
        <v>129</v>
      </c>
    </row>
    <row r="19" ht="36.0" customHeight="1">
      <c r="A19" s="7" t="s">
        <v>130</v>
      </c>
      <c r="B19" s="8" t="s">
        <v>18</v>
      </c>
      <c r="C19" s="9" t="s">
        <v>131</v>
      </c>
      <c r="D19" s="10" t="s">
        <v>132</v>
      </c>
      <c r="E19" s="21" t="s">
        <v>133</v>
      </c>
      <c r="F19" s="10" t="s">
        <v>134</v>
      </c>
      <c r="G19" s="10" t="s">
        <v>135</v>
      </c>
      <c r="H19" s="10" t="s">
        <v>136</v>
      </c>
      <c r="I19" s="10" t="s">
        <v>25</v>
      </c>
      <c r="J19" s="10" t="s">
        <v>137</v>
      </c>
      <c r="K19" s="10" t="s">
        <v>138</v>
      </c>
      <c r="L19" s="12" t="s">
        <v>28</v>
      </c>
      <c r="M19" s="13" t="s">
        <v>29</v>
      </c>
      <c r="N19" s="10" t="s">
        <v>139</v>
      </c>
    </row>
    <row r="20" ht="36.0" customHeight="1">
      <c r="A20" s="14" t="s">
        <v>140</v>
      </c>
      <c r="B20" s="8" t="s">
        <v>18</v>
      </c>
      <c r="C20" s="9" t="s">
        <v>131</v>
      </c>
      <c r="D20" s="15" t="s">
        <v>141</v>
      </c>
      <c r="E20" s="21" t="s">
        <v>133</v>
      </c>
      <c r="F20" s="15" t="s">
        <v>134</v>
      </c>
      <c r="G20" s="15" t="s">
        <v>142</v>
      </c>
      <c r="H20" s="15" t="s">
        <v>24</v>
      </c>
      <c r="I20" s="15" t="s">
        <v>25</v>
      </c>
      <c r="J20" s="15" t="s">
        <v>143</v>
      </c>
      <c r="K20" s="15" t="s">
        <v>144</v>
      </c>
      <c r="L20" s="12" t="s">
        <v>28</v>
      </c>
      <c r="M20" s="13" t="s">
        <v>29</v>
      </c>
      <c r="N20" s="15" t="s">
        <v>145</v>
      </c>
    </row>
    <row r="21" ht="36.0" customHeight="1">
      <c r="A21" s="7" t="s">
        <v>146</v>
      </c>
      <c r="B21" s="8" t="s">
        <v>18</v>
      </c>
      <c r="C21" s="9" t="s">
        <v>131</v>
      </c>
      <c r="D21" s="10" t="s">
        <v>147</v>
      </c>
      <c r="E21" s="21" t="s">
        <v>133</v>
      </c>
      <c r="F21" s="10" t="s">
        <v>148</v>
      </c>
      <c r="G21" s="10" t="s">
        <v>149</v>
      </c>
      <c r="H21" s="10" t="s">
        <v>136</v>
      </c>
      <c r="I21" s="10" t="s">
        <v>101</v>
      </c>
      <c r="J21" s="10" t="s">
        <v>150</v>
      </c>
      <c r="K21" s="10" t="s">
        <v>151</v>
      </c>
      <c r="L21" s="16" t="s">
        <v>45</v>
      </c>
      <c r="M21" s="13" t="s">
        <v>29</v>
      </c>
      <c r="N21" s="10" t="s">
        <v>152</v>
      </c>
    </row>
    <row r="22" ht="36.0" customHeight="1">
      <c r="A22" s="20" t="s">
        <v>153</v>
      </c>
      <c r="B22" s="18" t="s">
        <v>68</v>
      </c>
      <c r="C22" s="9" t="s">
        <v>131</v>
      </c>
      <c r="D22" s="15" t="s">
        <v>154</v>
      </c>
      <c r="E22" s="21" t="s">
        <v>133</v>
      </c>
      <c r="F22" s="15" t="s">
        <v>155</v>
      </c>
      <c r="G22" s="15" t="s">
        <v>156</v>
      </c>
      <c r="H22" s="15" t="s">
        <v>24</v>
      </c>
      <c r="I22" s="15" t="s">
        <v>101</v>
      </c>
      <c r="J22" s="15" t="s">
        <v>157</v>
      </c>
      <c r="K22" s="15" t="s">
        <v>158</v>
      </c>
      <c r="L22" s="12" t="s">
        <v>28</v>
      </c>
      <c r="M22" s="13" t="s">
        <v>29</v>
      </c>
      <c r="N22" s="15" t="s">
        <v>159</v>
      </c>
    </row>
    <row r="23" ht="36.0" customHeight="1">
      <c r="A23" s="7" t="s">
        <v>160</v>
      </c>
      <c r="B23" s="8" t="s">
        <v>18</v>
      </c>
      <c r="C23" s="9" t="s">
        <v>161</v>
      </c>
      <c r="D23" s="10" t="s">
        <v>162</v>
      </c>
      <c r="E23" s="21" t="s">
        <v>133</v>
      </c>
      <c r="F23" s="10" t="s">
        <v>163</v>
      </c>
      <c r="G23" s="10" t="s">
        <v>164</v>
      </c>
      <c r="H23" s="10" t="s">
        <v>24</v>
      </c>
      <c r="I23" s="10" t="s">
        <v>25</v>
      </c>
      <c r="J23" s="10" t="s">
        <v>165</v>
      </c>
      <c r="K23" s="10" t="s">
        <v>166</v>
      </c>
      <c r="L23" s="12" t="s">
        <v>28</v>
      </c>
      <c r="M23" s="13" t="s">
        <v>29</v>
      </c>
      <c r="N23" s="10" t="s">
        <v>167</v>
      </c>
    </row>
    <row r="24" ht="36.0" customHeight="1">
      <c r="A24" s="14" t="s">
        <v>168</v>
      </c>
      <c r="B24" s="8" t="s">
        <v>18</v>
      </c>
      <c r="C24" s="9" t="s">
        <v>161</v>
      </c>
      <c r="D24" s="15" t="s">
        <v>169</v>
      </c>
      <c r="E24" s="21" t="s">
        <v>133</v>
      </c>
      <c r="F24" s="15" t="s">
        <v>163</v>
      </c>
      <c r="G24" s="15" t="s">
        <v>170</v>
      </c>
      <c r="H24" s="15" t="s">
        <v>136</v>
      </c>
      <c r="I24" s="15" t="s">
        <v>25</v>
      </c>
      <c r="J24" s="15" t="s">
        <v>171</v>
      </c>
      <c r="K24" s="15" t="s">
        <v>172</v>
      </c>
      <c r="L24" s="16" t="s">
        <v>45</v>
      </c>
      <c r="M24" s="13" t="s">
        <v>29</v>
      </c>
      <c r="N24" s="15" t="s">
        <v>173</v>
      </c>
    </row>
    <row r="25" ht="36.0" customHeight="1">
      <c r="A25" s="7" t="s">
        <v>174</v>
      </c>
      <c r="B25" s="8" t="s">
        <v>18</v>
      </c>
      <c r="C25" s="9" t="s">
        <v>161</v>
      </c>
      <c r="D25" s="10" t="s">
        <v>175</v>
      </c>
      <c r="E25" s="21" t="s">
        <v>133</v>
      </c>
      <c r="F25" s="10" t="s">
        <v>176</v>
      </c>
      <c r="G25" s="10" t="s">
        <v>177</v>
      </c>
      <c r="H25" s="10" t="s">
        <v>24</v>
      </c>
      <c r="I25" s="10" t="s">
        <v>25</v>
      </c>
      <c r="J25" s="10" t="s">
        <v>178</v>
      </c>
      <c r="K25" s="10" t="s">
        <v>179</v>
      </c>
      <c r="L25" s="12" t="s">
        <v>28</v>
      </c>
      <c r="M25" s="13" t="s">
        <v>29</v>
      </c>
      <c r="N25" s="10" t="s">
        <v>180</v>
      </c>
    </row>
    <row r="26" ht="36.0" customHeight="1">
      <c r="A26" s="20" t="s">
        <v>181</v>
      </c>
      <c r="B26" s="18" t="s">
        <v>68</v>
      </c>
      <c r="C26" s="9" t="s">
        <v>182</v>
      </c>
      <c r="D26" s="15" t="s">
        <v>183</v>
      </c>
      <c r="E26" s="22" t="s">
        <v>184</v>
      </c>
      <c r="F26" s="15" t="s">
        <v>185</v>
      </c>
      <c r="G26" s="15" t="s">
        <v>186</v>
      </c>
      <c r="H26" s="15" t="s">
        <v>125</v>
      </c>
      <c r="I26" s="15" t="s">
        <v>187</v>
      </c>
      <c r="J26" s="15" t="s">
        <v>188</v>
      </c>
      <c r="K26" s="15" t="s">
        <v>189</v>
      </c>
      <c r="L26" s="12" t="s">
        <v>28</v>
      </c>
      <c r="M26" s="13" t="s">
        <v>29</v>
      </c>
      <c r="N26" s="15" t="s">
        <v>190</v>
      </c>
    </row>
    <row r="27" ht="36.0" customHeight="1">
      <c r="A27" s="17" t="s">
        <v>191</v>
      </c>
      <c r="B27" s="18" t="s">
        <v>68</v>
      </c>
      <c r="C27" s="9" t="s">
        <v>182</v>
      </c>
      <c r="D27" s="10" t="s">
        <v>192</v>
      </c>
      <c r="E27" s="22" t="s">
        <v>184</v>
      </c>
      <c r="F27" s="10" t="s">
        <v>193</v>
      </c>
      <c r="G27" s="10" t="s">
        <v>194</v>
      </c>
      <c r="H27" s="10" t="s">
        <v>125</v>
      </c>
      <c r="I27" s="10" t="s">
        <v>126</v>
      </c>
      <c r="J27" s="10" t="s">
        <v>195</v>
      </c>
      <c r="K27" s="10" t="s">
        <v>196</v>
      </c>
      <c r="L27" s="12" t="s">
        <v>28</v>
      </c>
      <c r="M27" s="13" t="s">
        <v>29</v>
      </c>
      <c r="N27" s="10" t="s">
        <v>197</v>
      </c>
    </row>
    <row r="28" ht="36.0" customHeight="1">
      <c r="A28" s="20" t="s">
        <v>198</v>
      </c>
      <c r="B28" s="18" t="s">
        <v>68</v>
      </c>
      <c r="C28" s="9" t="s">
        <v>182</v>
      </c>
      <c r="D28" s="15" t="s">
        <v>199</v>
      </c>
      <c r="E28" s="22" t="s">
        <v>184</v>
      </c>
      <c r="F28" s="15" t="s">
        <v>200</v>
      </c>
      <c r="G28" s="15" t="s">
        <v>201</v>
      </c>
      <c r="H28" s="15" t="s">
        <v>35</v>
      </c>
      <c r="I28" s="15" t="s">
        <v>202</v>
      </c>
      <c r="J28" s="15" t="s">
        <v>203</v>
      </c>
      <c r="K28" s="15" t="s">
        <v>204</v>
      </c>
      <c r="L28" s="12" t="s">
        <v>28</v>
      </c>
      <c r="M28" s="13" t="s">
        <v>29</v>
      </c>
      <c r="N28" s="15" t="s">
        <v>205</v>
      </c>
    </row>
    <row r="29" ht="36.0" customHeight="1">
      <c r="A29" s="17" t="s">
        <v>206</v>
      </c>
      <c r="B29" s="18" t="s">
        <v>68</v>
      </c>
      <c r="C29" s="9" t="s">
        <v>182</v>
      </c>
      <c r="D29" s="10" t="s">
        <v>207</v>
      </c>
      <c r="E29" s="22" t="s">
        <v>184</v>
      </c>
      <c r="F29" s="10" t="s">
        <v>208</v>
      </c>
      <c r="G29" s="10" t="s">
        <v>209</v>
      </c>
      <c r="H29" s="10" t="s">
        <v>24</v>
      </c>
      <c r="I29" s="10" t="s">
        <v>210</v>
      </c>
      <c r="J29" s="10" t="s">
        <v>211</v>
      </c>
      <c r="K29" s="10" t="s">
        <v>212</v>
      </c>
      <c r="L29" s="16" t="s">
        <v>45</v>
      </c>
      <c r="M29" s="23" t="s">
        <v>213</v>
      </c>
      <c r="N29" s="10" t="s">
        <v>214</v>
      </c>
    </row>
    <row r="30" ht="36.0" customHeight="1">
      <c r="A30" s="20" t="s">
        <v>215</v>
      </c>
      <c r="B30" s="18" t="s">
        <v>68</v>
      </c>
      <c r="C30" s="9" t="s">
        <v>182</v>
      </c>
      <c r="D30" s="15" t="s">
        <v>216</v>
      </c>
      <c r="E30" s="22" t="s">
        <v>184</v>
      </c>
      <c r="F30" s="15" t="s">
        <v>217</v>
      </c>
      <c r="G30" s="15" t="s">
        <v>218</v>
      </c>
      <c r="H30" s="15" t="s">
        <v>125</v>
      </c>
      <c r="I30" s="15" t="s">
        <v>219</v>
      </c>
      <c r="J30" s="15" t="s">
        <v>220</v>
      </c>
      <c r="K30" s="15" t="s">
        <v>221</v>
      </c>
      <c r="L30" s="16" t="s">
        <v>45</v>
      </c>
      <c r="M30" s="23" t="s">
        <v>213</v>
      </c>
      <c r="N30" s="15" t="s">
        <v>222</v>
      </c>
    </row>
    <row r="31" ht="36.0" customHeight="1">
      <c r="A31" s="7" t="s">
        <v>223</v>
      </c>
      <c r="B31" s="8" t="s">
        <v>18</v>
      </c>
      <c r="C31" s="9" t="s">
        <v>76</v>
      </c>
      <c r="D31" s="10" t="s">
        <v>224</v>
      </c>
      <c r="E31" s="22" t="s">
        <v>184</v>
      </c>
      <c r="F31" s="10" t="s">
        <v>225</v>
      </c>
      <c r="G31" s="10" t="s">
        <v>226</v>
      </c>
      <c r="H31" s="10" t="s">
        <v>227</v>
      </c>
      <c r="I31" s="10" t="s">
        <v>25</v>
      </c>
      <c r="J31" s="10" t="s">
        <v>228</v>
      </c>
      <c r="K31" s="10" t="s">
        <v>229</v>
      </c>
      <c r="L31" s="16" t="s">
        <v>45</v>
      </c>
      <c r="M31" s="13" t="s">
        <v>29</v>
      </c>
      <c r="N31" s="10" t="s">
        <v>230</v>
      </c>
    </row>
    <row r="32" ht="36.0" customHeight="1">
      <c r="A32" s="14" t="s">
        <v>231</v>
      </c>
      <c r="B32" s="8" t="s">
        <v>18</v>
      </c>
      <c r="C32" s="9" t="s">
        <v>182</v>
      </c>
      <c r="D32" s="15" t="s">
        <v>232</v>
      </c>
      <c r="E32" s="22" t="s">
        <v>184</v>
      </c>
      <c r="F32" s="15" t="s">
        <v>233</v>
      </c>
      <c r="G32" s="15" t="s">
        <v>234</v>
      </c>
      <c r="H32" s="15" t="s">
        <v>24</v>
      </c>
      <c r="I32" s="15" t="s">
        <v>25</v>
      </c>
      <c r="J32" s="15" t="s">
        <v>235</v>
      </c>
      <c r="K32" s="15" t="s">
        <v>236</v>
      </c>
      <c r="L32" s="16" t="s">
        <v>45</v>
      </c>
      <c r="M32" s="13" t="s">
        <v>29</v>
      </c>
      <c r="N32" s="15" t="s">
        <v>237</v>
      </c>
    </row>
    <row r="33" ht="24.0" customHeight="1">
      <c r="A33" s="24" t="str">
        <f>COUNTA(A5:A32)&amp;" requerimientos totales  |  "&amp;COUNTIF(M5:M32,"✅ Implementado")&amp;" implementados  |  "&amp;COUNTIF(M5:M32,"⏳ Pendiente")&amp;" pendientes  |  "&amp;TEXT(COUNTIF(M5:M32,"✅ Implementado")/COUNTA(A5:A32),"0%")&amp;" cobertura"</f>
        <v>28 requerimientos totales  |  26 implementados  |  2 pendientes  |  93% cobertura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N1"/>
    <mergeCell ref="A2:N2"/>
    <mergeCell ref="A3:N3"/>
    <mergeCell ref="A33:N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17.0"/>
    <col customWidth="1" min="7" max="26" width="8.71"/>
  </cols>
  <sheetData>
    <row r="1" ht="31.5" customHeight="1">
      <c r="A1" s="1" t="s">
        <v>238</v>
      </c>
      <c r="B1" s="2"/>
      <c r="C1" s="2"/>
      <c r="D1" s="2"/>
      <c r="E1" s="2"/>
      <c r="F1" s="2"/>
      <c r="G1" s="3"/>
    </row>
    <row r="2" ht="15.75" customHeight="1">
      <c r="A2" s="4" t="s">
        <v>239</v>
      </c>
      <c r="B2" s="2"/>
      <c r="C2" s="2"/>
      <c r="D2" s="2"/>
      <c r="E2" s="2"/>
      <c r="F2" s="2"/>
      <c r="G2" s="3"/>
    </row>
    <row r="4" ht="27.75" customHeight="1">
      <c r="A4" s="6" t="s">
        <v>240</v>
      </c>
      <c r="B4" s="25" t="s">
        <v>241</v>
      </c>
      <c r="C4" s="26" t="s">
        <v>242</v>
      </c>
      <c r="D4" s="27" t="s">
        <v>243</v>
      </c>
      <c r="E4" s="28" t="s">
        <v>244</v>
      </c>
      <c r="F4" s="29" t="s">
        <v>245</v>
      </c>
    </row>
    <row r="5" ht="43.5" customHeight="1">
      <c r="A5" s="30">
        <f>COUNTA(RTM!A5:A200)</f>
        <v>29</v>
      </c>
      <c r="B5" s="31">
        <f>COUNTIF(RTM!B5:B200,"Funcional")</f>
        <v>20</v>
      </c>
      <c r="C5" s="32">
        <f>COUNTIF(RTM!B5:B200,"No Funcional")</f>
        <v>8</v>
      </c>
      <c r="D5" s="33">
        <f>COUNTIF(RTM!M5:M200,"✅ Implementado")</f>
        <v>26</v>
      </c>
      <c r="E5" s="34">
        <f>COUNTIF(RTM!M5:M200,"⏳ Pendiente")</f>
        <v>2</v>
      </c>
      <c r="F5" s="35">
        <f>IFERROR(COUNTIF(RTM!M5:M200,"✅ Implementado")/COUNTA(RTM!A5:A200),0)</f>
        <v>0.8965517241</v>
      </c>
    </row>
    <row r="7" ht="24.0" customHeight="1">
      <c r="A7" s="6" t="s">
        <v>7</v>
      </c>
      <c r="B7" s="6" t="s">
        <v>246</v>
      </c>
      <c r="C7" s="6" t="s">
        <v>241</v>
      </c>
      <c r="D7" s="6" t="s">
        <v>247</v>
      </c>
      <c r="E7" s="6" t="s">
        <v>248</v>
      </c>
      <c r="F7" s="6" t="s">
        <v>249</v>
      </c>
      <c r="G7" s="6" t="s">
        <v>250</v>
      </c>
    </row>
    <row r="9" ht="19.5" customHeight="1">
      <c r="A9" s="36" t="s">
        <v>21</v>
      </c>
      <c r="B9" s="37">
        <f>COUNTIF(RTM!E5:E200,"Sprint 0")</f>
        <v>7</v>
      </c>
      <c r="C9" s="37">
        <f>COUNTIFS(RTM!E5:E200,"Sprint 0",RTM!B5:B200,"Funcional")</f>
        <v>6</v>
      </c>
      <c r="D9" s="37">
        <f>COUNTIFS(RTM!E5:E200,"Sprint 0",RTM!B5:B200,"No Funcional")</f>
        <v>1</v>
      </c>
      <c r="E9" s="37">
        <f>COUNTIFS(RTM!E5:E200,"Sprint 0",RTM!M5:M200,"✅ Implementado")</f>
        <v>7</v>
      </c>
      <c r="F9" s="37">
        <f>COUNTIFS(RTM!E5:E200,"Sprint 0",RTM!M5:M200,"⏳ Pendiente")</f>
        <v>0</v>
      </c>
      <c r="G9" s="38">
        <f t="shared" ref="G9:G12" si="1">IFERROR(E9/B9,0)</f>
        <v>1</v>
      </c>
    </row>
    <row r="10" ht="19.5" customHeight="1">
      <c r="A10" s="39" t="s">
        <v>78</v>
      </c>
      <c r="B10" s="37">
        <f>COUNTIF(RTM!E5:E200,"Sprint 1")</f>
        <v>7</v>
      </c>
      <c r="C10" s="37">
        <f>COUNTIFS(RTM!E5:E200,"Sprint 1",RTM!B5:B200,"Funcional")</f>
        <v>6</v>
      </c>
      <c r="D10" s="37">
        <f>COUNTIFS(RTM!E5:E200,"Sprint 1",RTM!B5:B200,"No Funcional")</f>
        <v>1</v>
      </c>
      <c r="E10" s="37">
        <f>COUNTIFS(RTM!E5:E200,"Sprint 1",RTM!M5:M200,"✅ Implementado")</f>
        <v>7</v>
      </c>
      <c r="F10" s="37">
        <f>COUNTIFS(RTM!E5:E200,"Sprint 1",RTM!M5:M200,"⏳ Pendiente")</f>
        <v>0</v>
      </c>
      <c r="G10" s="38">
        <f t="shared" si="1"/>
        <v>1</v>
      </c>
    </row>
    <row r="11" ht="19.5" customHeight="1">
      <c r="A11" s="40" t="s">
        <v>133</v>
      </c>
      <c r="B11" s="37">
        <f>COUNTIF(RTM!E5:E200,"Sprint 2")</f>
        <v>7</v>
      </c>
      <c r="C11" s="37">
        <f>COUNTIFS(RTM!E5:E200,"Sprint 2",RTM!B5:B200,"Funcional")</f>
        <v>6</v>
      </c>
      <c r="D11" s="37">
        <f>COUNTIFS(RTM!E5:E200,"Sprint 2",RTM!B5:B200,"No Funcional")</f>
        <v>1</v>
      </c>
      <c r="E11" s="37">
        <f>COUNTIFS(RTM!E5:E200,"Sprint 2",RTM!M5:M200,"✅ Implementado")</f>
        <v>7</v>
      </c>
      <c r="F11" s="37">
        <f>COUNTIFS(RTM!E5:E200,"Sprint 2",RTM!M5:M200,"⏳ Pendiente")</f>
        <v>0</v>
      </c>
      <c r="G11" s="38">
        <f t="shared" si="1"/>
        <v>1</v>
      </c>
    </row>
    <row r="12" ht="19.5" customHeight="1">
      <c r="A12" s="41" t="s">
        <v>184</v>
      </c>
      <c r="B12" s="37">
        <f>COUNTIF(RTM!E5:E200,"Fase Final")</f>
        <v>7</v>
      </c>
      <c r="C12" s="37">
        <f>COUNTIFS(RTM!E5:E200,"Fase Final",RTM!B5:B200,"Funcional")</f>
        <v>2</v>
      </c>
      <c r="D12" s="37">
        <f>COUNTIFS(RTM!E5:E200,"Fase Final",RTM!B5:B200,"No Funcional")</f>
        <v>5</v>
      </c>
      <c r="E12" s="37">
        <f>COUNTIFS(RTM!E5:E200,"Fase Final",RTM!M5:M200,"✅ Implementado")</f>
        <v>5</v>
      </c>
      <c r="F12" s="37">
        <f>COUNTIFS(RTM!E5:E200,"Fase Final",RTM!M5:M200,"⏳ Pendiente")</f>
        <v>2</v>
      </c>
      <c r="G12" s="38">
        <f t="shared" si="1"/>
        <v>0.7142857143</v>
      </c>
    </row>
    <row r="14" ht="24.0" customHeight="1">
      <c r="A14" s="42" t="s">
        <v>251</v>
      </c>
      <c r="B14" s="43"/>
      <c r="C14" s="43"/>
      <c r="D14" s="43"/>
      <c r="E14" s="43"/>
      <c r="F14" s="43"/>
      <c r="G14" s="44"/>
    </row>
    <row r="15">
      <c r="A15" s="45" t="s">
        <v>252</v>
      </c>
      <c r="B15" s="45" t="s">
        <v>240</v>
      </c>
      <c r="C15" s="45" t="s">
        <v>248</v>
      </c>
      <c r="D15" s="45" t="s">
        <v>249</v>
      </c>
      <c r="E15" s="45" t="s">
        <v>250</v>
      </c>
    </row>
    <row r="16" ht="19.5" customHeight="1">
      <c r="A16" s="46" t="s">
        <v>19</v>
      </c>
      <c r="B16" s="47">
        <f>COUNTIF(RTM!C5:C200,"Gestión de Usuarios")</f>
        <v>7</v>
      </c>
      <c r="C16" s="47">
        <f>COUNTIFS(RTM!C5:C200,"Gestión de Usuarios",RTM!M5:M200,"✅ Implementado")</f>
        <v>7</v>
      </c>
      <c r="D16" s="47">
        <f>COUNTIFS(RTM!C5:C200,"Gestión de Usuarios",RTM!M5:M200,"⏳ Pendiente")</f>
        <v>0</v>
      </c>
      <c r="E16" s="48">
        <f t="shared" ref="E16:E21" si="2">IFERROR(C16/B16,0)</f>
        <v>1</v>
      </c>
    </row>
    <row r="17" ht="19.5" customHeight="1">
      <c r="A17" s="49" t="s">
        <v>76</v>
      </c>
      <c r="B17" s="47">
        <f>COUNTIF(RTM!C5:C200,"Gestionar Libros")</f>
        <v>6</v>
      </c>
      <c r="C17" s="47">
        <f>COUNTIFS(RTM!C5:C200,"Gestionar Libros",RTM!M5:M200,"✅ Implementado")</f>
        <v>6</v>
      </c>
      <c r="D17" s="47">
        <f>COUNTIFS(RTM!C5:C200,"Gestionar Libros",RTM!M5:M200,"⏳ Pendiente")</f>
        <v>0</v>
      </c>
      <c r="E17" s="48">
        <f t="shared" si="2"/>
        <v>1</v>
      </c>
    </row>
    <row r="18" ht="19.5" customHeight="1">
      <c r="A18" s="50" t="s">
        <v>114</v>
      </c>
      <c r="B18" s="47">
        <f>COUNTIF(RTM!C5:C200,"Buscar Libros")</f>
        <v>2</v>
      </c>
      <c r="C18" s="47">
        <f>COUNTIFS(RTM!C5:C200,"Buscar Libros",RTM!M5:M200,"✅ Implementado")</f>
        <v>2</v>
      </c>
      <c r="D18" s="47">
        <f>COUNTIFS(RTM!C5:C200,"Buscar Libros",RTM!M5:M200,"⏳ Pendiente")</f>
        <v>0</v>
      </c>
      <c r="E18" s="48">
        <f t="shared" si="2"/>
        <v>1</v>
      </c>
    </row>
    <row r="19" ht="19.5" customHeight="1">
      <c r="A19" s="51" t="s">
        <v>131</v>
      </c>
      <c r="B19" s="47">
        <f>COUNTIF(RTM!C5:C200,"Prestar Libro")</f>
        <v>4</v>
      </c>
      <c r="C19" s="47">
        <f>COUNTIFS(RTM!C5:C200,"Prestar Libro",RTM!M5:M200,"✅ Implementado")</f>
        <v>4</v>
      </c>
      <c r="D19" s="47">
        <f>COUNTIFS(RTM!C5:C200,"Prestar Libro",RTM!M5:M200,"⏳ Pendiente")</f>
        <v>0</v>
      </c>
      <c r="E19" s="48">
        <f t="shared" si="2"/>
        <v>1</v>
      </c>
    </row>
    <row r="20" ht="19.5" customHeight="1">
      <c r="A20" s="52" t="s">
        <v>161</v>
      </c>
      <c r="B20" s="47">
        <f>COUNTIF(RTM!C5:C200,"Devolver Libro")</f>
        <v>3</v>
      </c>
      <c r="C20" s="47">
        <f>COUNTIFS(RTM!C5:C200,"Devolver Libro",RTM!M5:M200,"✅ Implementado")</f>
        <v>3</v>
      </c>
      <c r="D20" s="47">
        <f>COUNTIFS(RTM!C5:C200,"Devolver Libro",RTM!M5:M200,"⏳ Pendiente")</f>
        <v>0</v>
      </c>
      <c r="E20" s="48">
        <f t="shared" si="2"/>
        <v>1</v>
      </c>
    </row>
    <row r="21" ht="19.5" customHeight="1">
      <c r="A21" s="53" t="s">
        <v>182</v>
      </c>
      <c r="B21" s="47">
        <f>COUNTIF(RTM!C5:C200,"Todo el sistema")</f>
        <v>6</v>
      </c>
      <c r="C21" s="47">
        <f>COUNTIFS(RTM!C5:C200,"Todo el sistema",RTM!M5:M200,"✅ Implementado")</f>
        <v>4</v>
      </c>
      <c r="D21" s="47">
        <f>COUNTIFS(RTM!C5:C200,"Todo el sistema",RTM!M5:M200,"⏳ Pendiente")</f>
        <v>2</v>
      </c>
      <c r="E21" s="48">
        <f t="shared" si="2"/>
        <v>0.6666666667</v>
      </c>
    </row>
    <row r="22" ht="15.75" customHeight="1"/>
    <row r="23" ht="19.5" customHeight="1">
      <c r="A23" s="24" t="s">
        <v>253</v>
      </c>
      <c r="B23" s="2"/>
      <c r="C23" s="2"/>
      <c r="D23" s="2"/>
      <c r="E23" s="2"/>
      <c r="F23" s="2"/>
      <c r="G23" s="3"/>
    </row>
    <row r="24" ht="18.0" customHeight="1">
      <c r="A24" s="54" t="s">
        <v>29</v>
      </c>
      <c r="B24" s="55" t="s">
        <v>254</v>
      </c>
      <c r="C24" s="43"/>
      <c r="D24" s="43"/>
      <c r="E24" s="43"/>
      <c r="F24" s="43"/>
      <c r="G24" s="44"/>
    </row>
    <row r="25" ht="18.0" customHeight="1">
      <c r="A25" s="56" t="s">
        <v>255</v>
      </c>
      <c r="B25" s="55" t="s">
        <v>256</v>
      </c>
      <c r="C25" s="43"/>
      <c r="D25" s="43"/>
      <c r="E25" s="43"/>
      <c r="F25" s="43"/>
      <c r="G25" s="44"/>
    </row>
    <row r="26" ht="18.0" customHeight="1">
      <c r="A26" s="16" t="s">
        <v>213</v>
      </c>
      <c r="B26" s="55" t="s">
        <v>257</v>
      </c>
      <c r="C26" s="43"/>
      <c r="D26" s="43"/>
      <c r="E26" s="43"/>
      <c r="F26" s="43"/>
      <c r="G26" s="44"/>
    </row>
    <row r="27" ht="18.0" customHeight="1">
      <c r="A27" s="57" t="s">
        <v>258</v>
      </c>
      <c r="B27" s="55" t="s">
        <v>259</v>
      </c>
      <c r="C27" s="43"/>
      <c r="D27" s="43"/>
      <c r="E27" s="43"/>
      <c r="F27" s="43"/>
      <c r="G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A14:G14"/>
    <mergeCell ref="A23:G23"/>
    <mergeCell ref="B24:G24"/>
    <mergeCell ref="B25:G25"/>
    <mergeCell ref="B26:G26"/>
    <mergeCell ref="B27:G27"/>
  </mergeCells>
  <printOptions/>
  <pageMargins bottom="1.0" footer="0.0" header="0.0" left="0.75" right="0.75" top="1.0"/>
  <pageSetup paperSize="9" orientation="portrait"/>
  <drawing r:id="rId1"/>
</worksheet>
</file>